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asearch\Report\"/>
    </mc:Choice>
  </mc:AlternateContent>
  <xr:revisionPtr revIDLastSave="0" documentId="8_{44D9F405-10CD-480B-A71C-B3AA2D29365C}" xr6:coauthVersionLast="36" xr6:coauthVersionMax="36" xr10:uidLastSave="{00000000-0000-0000-0000-000000000000}"/>
  <bookViews>
    <workbookView xWindow="0" yWindow="0" windowWidth="20490" windowHeight="7425" xr2:uid="{2AA8F3EA-16BD-4F19-AFAF-8FAF6D2FA20E}"/>
  </bookViews>
  <sheets>
    <sheet name="Sheet1" sheetId="1" r:id="rId1"/>
    <sheet name="Parameters" sheetId="2" r:id="rId2"/>
    <sheet name="VIV Structure &amp; Generator Resu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3" l="1"/>
  <c r="I3" i="3"/>
  <c r="I4" i="3"/>
  <c r="I5" i="3"/>
  <c r="I6" i="3"/>
  <c r="I7" i="3"/>
  <c r="I8" i="3"/>
  <c r="I9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" i="3"/>
  <c r="G3" i="3"/>
  <c r="G5" i="3"/>
  <c r="G7" i="3"/>
  <c r="G9" i="3"/>
  <c r="G11" i="3"/>
  <c r="G13" i="3"/>
  <c r="G15" i="3"/>
  <c r="G17" i="3"/>
  <c r="G19" i="3"/>
  <c r="G21" i="3"/>
  <c r="G23" i="3"/>
  <c r="B18" i="2"/>
  <c r="B17" i="2"/>
  <c r="B16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" i="3"/>
  <c r="B3" i="3"/>
  <c r="E3" i="3" s="1"/>
  <c r="F3" i="3" s="1"/>
  <c r="B4" i="3"/>
  <c r="E4" i="3" s="1"/>
  <c r="B5" i="3"/>
  <c r="E5" i="3" s="1"/>
  <c r="F5" i="3" s="1"/>
  <c r="B6" i="3"/>
  <c r="E6" i="3" s="1"/>
  <c r="B7" i="3"/>
  <c r="E7" i="3" s="1"/>
  <c r="F7" i="3" s="1"/>
  <c r="B8" i="3"/>
  <c r="E8" i="3" s="1"/>
  <c r="B9" i="3"/>
  <c r="E9" i="3" s="1"/>
  <c r="F9" i="3" s="1"/>
  <c r="B10" i="3"/>
  <c r="E10" i="3" s="1"/>
  <c r="B11" i="3"/>
  <c r="E11" i="3" s="1"/>
  <c r="F11" i="3" s="1"/>
  <c r="B12" i="3"/>
  <c r="E12" i="3" s="1"/>
  <c r="B13" i="3"/>
  <c r="E13" i="3" s="1"/>
  <c r="F13" i="3" s="1"/>
  <c r="B14" i="3"/>
  <c r="E14" i="3" s="1"/>
  <c r="B15" i="3"/>
  <c r="E15" i="3" s="1"/>
  <c r="F15" i="3" s="1"/>
  <c r="B16" i="3"/>
  <c r="E16" i="3" s="1"/>
  <c r="B17" i="3"/>
  <c r="E17" i="3" s="1"/>
  <c r="F17" i="3" s="1"/>
  <c r="B18" i="3"/>
  <c r="E18" i="3" s="1"/>
  <c r="B19" i="3"/>
  <c r="E19" i="3" s="1"/>
  <c r="F19" i="3" s="1"/>
  <c r="B20" i="3"/>
  <c r="E20" i="3" s="1"/>
  <c r="B21" i="3"/>
  <c r="E21" i="3" s="1"/>
  <c r="F21" i="3" s="1"/>
  <c r="B22" i="3"/>
  <c r="E22" i="3" s="1"/>
  <c r="B23" i="3"/>
  <c r="E23" i="3" s="1"/>
  <c r="F23" i="3" s="1"/>
  <c r="B24" i="3"/>
  <c r="E24" i="3" s="1"/>
  <c r="B2" i="3"/>
  <c r="E2" i="3" s="1"/>
  <c r="F2" i="3" s="1"/>
  <c r="G2" i="3" s="1"/>
  <c r="F24" i="3" l="1"/>
  <c r="G24" i="3" s="1"/>
  <c r="F22" i="3"/>
  <c r="G22" i="3" s="1"/>
  <c r="F20" i="3"/>
  <c r="G20" i="3" s="1"/>
  <c r="F18" i="3"/>
  <c r="G18" i="3" s="1"/>
  <c r="F16" i="3"/>
  <c r="G16" i="3" s="1"/>
  <c r="F14" i="3"/>
  <c r="G14" i="3" s="1"/>
  <c r="F12" i="3"/>
  <c r="G12" i="3" s="1"/>
  <c r="F10" i="3"/>
  <c r="G10" i="3" s="1"/>
  <c r="F8" i="3"/>
  <c r="G8" i="3" s="1"/>
  <c r="F6" i="3"/>
  <c r="G6" i="3" s="1"/>
  <c r="F4" i="3"/>
  <c r="G4" i="3" s="1"/>
</calcChain>
</file>

<file path=xl/sharedStrings.xml><?xml version="1.0" encoding="utf-8"?>
<sst xmlns="http://schemas.openxmlformats.org/spreadsheetml/2006/main" count="48" uniqueCount="45">
  <si>
    <t>Wind Velocity (m/s)</t>
  </si>
  <si>
    <t>Vortex Freq (Hz)</t>
  </si>
  <si>
    <t>Reynolds Num (Re)</t>
  </si>
  <si>
    <t>Osc. Lift Force (N)</t>
  </si>
  <si>
    <t>Freq Ratio (r)</t>
  </si>
  <si>
    <t>Amplitude (m)</t>
  </si>
  <si>
    <t>VIV Mech. Power (W)</t>
  </si>
  <si>
    <t>PMLG Elec. Power (W)</t>
  </si>
  <si>
    <t>Air Density</t>
  </si>
  <si>
    <t>kg/m³</t>
  </si>
  <si>
    <t>Dyn. Viscosity</t>
  </si>
  <si>
    <t>kg/m·s</t>
  </si>
  <si>
    <t>Chord Length</t>
  </si>
  <si>
    <t>m</t>
  </si>
  <si>
    <t>Area</t>
  </si>
  <si>
    <t>m²</t>
  </si>
  <si>
    <t>Osc. Lift Coeff.</t>
  </si>
  <si>
    <t>-</t>
  </si>
  <si>
    <t>Strouhal Number</t>
  </si>
  <si>
    <t>Mass</t>
  </si>
  <si>
    <t>kg</t>
  </si>
  <si>
    <t>Spring Constant</t>
  </si>
  <si>
    <t>N/m</t>
  </si>
  <si>
    <t>Damping</t>
  </si>
  <si>
    <t>N·s/m</t>
  </si>
  <si>
    <t>Efficiency</t>
  </si>
  <si>
    <t>Turns per Phase</t>
  </si>
  <si>
    <t>turns</t>
  </si>
  <si>
    <t>Air Gap Flux</t>
  </si>
  <si>
    <t>T</t>
  </si>
  <si>
    <t>Eff. Area</t>
  </si>
  <si>
    <t>Coil Resistance</t>
  </si>
  <si>
    <t>Ω</t>
  </si>
  <si>
    <t>Wind</t>
  </si>
  <si>
    <t>Re</t>
  </si>
  <si>
    <t>Amplitude</t>
  </si>
  <si>
    <t>PMLG</t>
  </si>
  <si>
    <t>Vortex Freq</t>
  </si>
  <si>
    <t>Lift Force</t>
  </si>
  <si>
    <t>Freq Ratio</t>
  </si>
  <si>
    <t>Natural Freq.</t>
  </si>
  <si>
    <t>Damping Ratio</t>
  </si>
  <si>
    <t>Resonant Wind</t>
  </si>
  <si>
    <t>Max Velocity</t>
  </si>
  <si>
    <t>VIV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</si>
</sst>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3" fontId="2" fillId="0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3" fontId="2" fillId="2" borderId="1" xfId="0" applyNumberFormat="1" applyFont="1" applyFill="1" applyBorder="1" applyAlignment="1">
      <alignment horizontal="left" vertical="center" wrapText="1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74E8-05A6-4067-A0AC-8CB7839C4CBE}">
  <dimension ref="A1:H25"/>
  <sheetViews>
    <sheetView tabSelected="1" workbookViewId="0">
      <selection activeCell="A10" sqref="A10:XFD10"/>
    </sheetView>
  </sheetViews>
  <sheetFormatPr defaultRowHeight="15" x14ac:dyDescent="0.25"/>
  <cols>
    <col min="1" max="1" width="16.140625" customWidth="1"/>
    <col min="2" max="2" width="18.7109375" customWidth="1"/>
    <col min="3" max="3" width="25.140625" customWidth="1"/>
    <col min="4" max="6" width="20.7109375" customWidth="1"/>
    <col min="7" max="7" width="19.5703125" customWidth="1"/>
    <col min="8" max="8" width="25.42578125" customWidth="1"/>
  </cols>
  <sheetData>
    <row r="1" spans="1:8" ht="6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thickBot="1" x14ac:dyDescent="0.3">
      <c r="A2" s="2">
        <v>3</v>
      </c>
      <c r="B2" s="2">
        <v>0.6</v>
      </c>
      <c r="C2" s="3">
        <v>205478</v>
      </c>
      <c r="D2" s="2">
        <v>0.83</v>
      </c>
      <c r="E2" s="2">
        <v>0.27</v>
      </c>
      <c r="F2" s="2">
        <v>4.5999999999999999E-3</v>
      </c>
      <c r="G2" s="2">
        <v>0.12</v>
      </c>
      <c r="H2" s="2">
        <v>0.11</v>
      </c>
    </row>
    <row r="3" spans="1:8" ht="18" thickBot="1" x14ac:dyDescent="0.3">
      <c r="A3" s="2">
        <v>4</v>
      </c>
      <c r="B3" s="2">
        <v>0.8</v>
      </c>
      <c r="C3" s="3">
        <v>273971</v>
      </c>
      <c r="D3" s="2">
        <v>1.47</v>
      </c>
      <c r="E3" s="2">
        <v>0.37</v>
      </c>
      <c r="F3" s="2">
        <v>8.6E-3</v>
      </c>
      <c r="G3" s="2">
        <v>0.44</v>
      </c>
      <c r="H3" s="2">
        <v>0.39</v>
      </c>
    </row>
    <row r="4" spans="1:8" ht="18" thickBot="1" x14ac:dyDescent="0.3">
      <c r="A4" s="2">
        <v>5</v>
      </c>
      <c r="B4" s="2">
        <v>1</v>
      </c>
      <c r="C4" s="3">
        <v>342465</v>
      </c>
      <c r="D4" s="2">
        <v>2.2999999999999998</v>
      </c>
      <c r="E4" s="2">
        <v>0.46</v>
      </c>
      <c r="F4" s="2">
        <v>1.49E-2</v>
      </c>
      <c r="G4" s="2">
        <v>1.48</v>
      </c>
      <c r="H4" s="2">
        <v>1.33</v>
      </c>
    </row>
    <row r="5" spans="1:8" ht="18" thickBot="1" x14ac:dyDescent="0.3">
      <c r="A5" s="2">
        <v>6</v>
      </c>
      <c r="B5" s="2">
        <v>1.2</v>
      </c>
      <c r="C5" s="3">
        <v>410958</v>
      </c>
      <c r="D5" s="2">
        <v>3.31</v>
      </c>
      <c r="E5" s="2">
        <v>0.55000000000000004</v>
      </c>
      <c r="F5" s="2">
        <v>2.4299999999999999E-2</v>
      </c>
      <c r="G5" s="2">
        <v>4.09</v>
      </c>
      <c r="H5" s="2">
        <v>3.68</v>
      </c>
    </row>
    <row r="6" spans="1:8" ht="18" thickBot="1" x14ac:dyDescent="0.3">
      <c r="A6" s="2">
        <v>7</v>
      </c>
      <c r="B6" s="2">
        <v>1.4</v>
      </c>
      <c r="C6" s="3">
        <v>479451</v>
      </c>
      <c r="D6" s="2">
        <v>4.5</v>
      </c>
      <c r="E6" s="2">
        <v>0.64</v>
      </c>
      <c r="F6" s="2">
        <v>3.8100000000000002E-2</v>
      </c>
      <c r="G6" s="2">
        <v>9.77</v>
      </c>
      <c r="H6" s="2">
        <v>8.7899999999999991</v>
      </c>
    </row>
    <row r="7" spans="1:8" ht="18" thickBot="1" x14ac:dyDescent="0.3">
      <c r="A7" s="2">
        <v>8</v>
      </c>
      <c r="B7" s="2">
        <v>1.6</v>
      </c>
      <c r="C7" s="3">
        <v>547944</v>
      </c>
      <c r="D7" s="2">
        <v>5.88</v>
      </c>
      <c r="E7" s="2">
        <v>0.73</v>
      </c>
      <c r="F7" s="2">
        <v>5.8299999999999998E-2</v>
      </c>
      <c r="G7" s="2">
        <v>20.84</v>
      </c>
      <c r="H7" s="2">
        <v>18.75</v>
      </c>
    </row>
    <row r="8" spans="1:8" ht="18" thickBot="1" x14ac:dyDescent="0.3">
      <c r="A8" s="2">
        <v>9</v>
      </c>
      <c r="B8" s="2">
        <v>1.8</v>
      </c>
      <c r="C8" s="3">
        <v>616437</v>
      </c>
      <c r="D8" s="2">
        <v>7.44</v>
      </c>
      <c r="E8" s="2">
        <v>0.82</v>
      </c>
      <c r="F8" s="2">
        <v>8.72E-2</v>
      </c>
      <c r="G8" s="2">
        <v>41.87</v>
      </c>
      <c r="H8" s="2">
        <v>37.68</v>
      </c>
    </row>
    <row r="9" spans="1:8" ht="18" thickBot="1" x14ac:dyDescent="0.3">
      <c r="A9" s="2">
        <v>10</v>
      </c>
      <c r="B9" s="2">
        <v>2</v>
      </c>
      <c r="C9" s="3">
        <v>684930</v>
      </c>
      <c r="D9" s="2">
        <v>9.19</v>
      </c>
      <c r="E9" s="2">
        <v>0.91</v>
      </c>
      <c r="F9" s="2">
        <v>0.1</v>
      </c>
      <c r="G9" s="2">
        <v>71.06</v>
      </c>
      <c r="H9" s="2">
        <v>63.95</v>
      </c>
    </row>
    <row r="10" spans="1:8" ht="18" thickBot="1" x14ac:dyDescent="0.3">
      <c r="A10" s="2">
        <v>10.95</v>
      </c>
      <c r="B10" s="2">
        <v>2.19</v>
      </c>
      <c r="C10" s="3">
        <v>750000</v>
      </c>
      <c r="D10" s="2">
        <v>11.02</v>
      </c>
      <c r="E10" s="2">
        <v>1</v>
      </c>
      <c r="F10" s="2">
        <v>0.1</v>
      </c>
      <c r="G10" s="2">
        <v>88.57</v>
      </c>
      <c r="H10" s="2">
        <v>79.709999999999994</v>
      </c>
    </row>
    <row r="11" spans="1:8" ht="18" thickBot="1" x14ac:dyDescent="0.3">
      <c r="A11" s="2">
        <v>11</v>
      </c>
      <c r="B11" s="2">
        <v>2.2000000000000002</v>
      </c>
      <c r="C11" s="3">
        <v>753423</v>
      </c>
      <c r="D11" s="2">
        <v>11.12</v>
      </c>
      <c r="E11" s="2">
        <v>1</v>
      </c>
      <c r="F11" s="2">
        <v>0.1</v>
      </c>
      <c r="G11" s="2">
        <v>89.63</v>
      </c>
      <c r="H11" s="2">
        <v>80.67</v>
      </c>
    </row>
    <row r="12" spans="1:8" ht="18" thickBot="1" x14ac:dyDescent="0.3">
      <c r="A12" s="2">
        <v>12</v>
      </c>
      <c r="B12" s="2">
        <v>2.4</v>
      </c>
      <c r="C12" s="3">
        <v>821916</v>
      </c>
      <c r="D12" s="2">
        <v>13.23</v>
      </c>
      <c r="E12" s="2">
        <v>1.1000000000000001</v>
      </c>
      <c r="F12" s="2">
        <v>0.1</v>
      </c>
      <c r="G12" s="2">
        <v>113.69</v>
      </c>
      <c r="H12" s="2">
        <v>102.32</v>
      </c>
    </row>
    <row r="13" spans="1:8" s="6" customFormat="1" ht="18" thickBot="1" x14ac:dyDescent="0.3">
      <c r="A13" s="4">
        <v>13</v>
      </c>
      <c r="B13" s="4">
        <v>2.6</v>
      </c>
      <c r="C13" s="5">
        <v>890409</v>
      </c>
      <c r="D13" s="4">
        <v>15.53</v>
      </c>
      <c r="E13" s="4">
        <v>1.19</v>
      </c>
      <c r="F13" s="4">
        <v>9.1300000000000006E-2</v>
      </c>
      <c r="G13" s="4">
        <v>119.34</v>
      </c>
      <c r="H13" s="4">
        <v>107.41</v>
      </c>
    </row>
    <row r="14" spans="1:8" ht="18" thickBot="1" x14ac:dyDescent="0.3">
      <c r="A14" s="2">
        <v>14</v>
      </c>
      <c r="B14" s="2">
        <v>2.8</v>
      </c>
      <c r="C14" s="3">
        <v>958902</v>
      </c>
      <c r="D14" s="2">
        <v>18.010000000000002</v>
      </c>
      <c r="E14" s="2">
        <v>1.28</v>
      </c>
      <c r="F14" s="2">
        <v>7.8899999999999998E-2</v>
      </c>
      <c r="G14" s="2">
        <v>116.12</v>
      </c>
      <c r="H14" s="2">
        <v>104.51</v>
      </c>
    </row>
    <row r="15" spans="1:8" ht="18" thickBot="1" x14ac:dyDescent="0.3">
      <c r="A15" s="2">
        <v>15</v>
      </c>
      <c r="B15" s="2">
        <v>3</v>
      </c>
      <c r="C15" s="3">
        <v>1027395</v>
      </c>
      <c r="D15" s="2">
        <v>20.67</v>
      </c>
      <c r="E15" s="2">
        <v>1.37</v>
      </c>
      <c r="F15" s="2">
        <v>6.7900000000000002E-2</v>
      </c>
      <c r="G15" s="2">
        <v>108.31</v>
      </c>
      <c r="H15" s="2">
        <v>97.48</v>
      </c>
    </row>
    <row r="16" spans="1:8" ht="18" thickBot="1" x14ac:dyDescent="0.3">
      <c r="A16" s="2">
        <v>16</v>
      </c>
      <c r="B16" s="2">
        <v>3.2</v>
      </c>
      <c r="C16" s="3">
        <v>1095888</v>
      </c>
      <c r="D16" s="2">
        <v>23.52</v>
      </c>
      <c r="E16" s="2">
        <v>1.46</v>
      </c>
      <c r="F16" s="2">
        <v>5.8500000000000003E-2</v>
      </c>
      <c r="G16" s="2">
        <v>98.71</v>
      </c>
      <c r="H16" s="2">
        <v>88.84</v>
      </c>
    </row>
    <row r="17" spans="1:8" ht="18" thickBot="1" x14ac:dyDescent="0.3">
      <c r="A17" s="2">
        <v>17</v>
      </c>
      <c r="B17" s="2">
        <v>3.4</v>
      </c>
      <c r="C17" s="3">
        <v>1164381</v>
      </c>
      <c r="D17" s="2">
        <v>26.56</v>
      </c>
      <c r="E17" s="2">
        <v>1.55</v>
      </c>
      <c r="F17" s="2">
        <v>5.0700000000000002E-2</v>
      </c>
      <c r="G17" s="2">
        <v>88.94</v>
      </c>
      <c r="H17" s="2">
        <v>80.05</v>
      </c>
    </row>
    <row r="18" spans="1:8" ht="18" thickBot="1" x14ac:dyDescent="0.3">
      <c r="A18" s="2">
        <v>18</v>
      </c>
      <c r="B18" s="2">
        <v>3.6</v>
      </c>
      <c r="C18" s="3">
        <v>1232874</v>
      </c>
      <c r="D18" s="2">
        <v>29.78</v>
      </c>
      <c r="E18" s="2">
        <v>1.64</v>
      </c>
      <c r="F18" s="2">
        <v>4.4299999999999999E-2</v>
      </c>
      <c r="G18" s="2">
        <v>79.73</v>
      </c>
      <c r="H18" s="2">
        <v>71.760000000000005</v>
      </c>
    </row>
    <row r="19" spans="1:8" ht="18" thickBot="1" x14ac:dyDescent="0.3">
      <c r="A19" s="2">
        <v>19</v>
      </c>
      <c r="B19" s="2">
        <v>3.8</v>
      </c>
      <c r="C19" s="3">
        <v>1301367</v>
      </c>
      <c r="D19" s="2">
        <v>33.19</v>
      </c>
      <c r="E19" s="2">
        <v>1.73</v>
      </c>
      <c r="F19" s="2">
        <v>3.9E-2</v>
      </c>
      <c r="G19" s="2">
        <v>71.37</v>
      </c>
      <c r="H19" s="2">
        <v>64.23</v>
      </c>
    </row>
    <row r="20" spans="1:8" ht="18" thickBot="1" x14ac:dyDescent="0.3">
      <c r="A20" s="2">
        <v>20</v>
      </c>
      <c r="B20" s="2">
        <v>4</v>
      </c>
      <c r="C20" s="3">
        <v>1369860</v>
      </c>
      <c r="D20" s="2">
        <v>36.78</v>
      </c>
      <c r="E20" s="2">
        <v>1.83</v>
      </c>
      <c r="F20" s="2">
        <v>3.4599999999999999E-2</v>
      </c>
      <c r="G20" s="2">
        <v>63.95</v>
      </c>
      <c r="H20" s="2">
        <v>57.56</v>
      </c>
    </row>
    <row r="21" spans="1:8" ht="18" thickBot="1" x14ac:dyDescent="0.3">
      <c r="A21" s="2">
        <v>21</v>
      </c>
      <c r="B21" s="2">
        <v>4.2</v>
      </c>
      <c r="C21" s="3">
        <v>1438353</v>
      </c>
      <c r="D21" s="2">
        <v>40.56</v>
      </c>
      <c r="E21" s="2">
        <v>1.92</v>
      </c>
      <c r="F21" s="2">
        <v>3.09E-2</v>
      </c>
      <c r="G21" s="2">
        <v>57.45</v>
      </c>
      <c r="H21" s="2">
        <v>51.71</v>
      </c>
    </row>
    <row r="22" spans="1:8" ht="18" thickBot="1" x14ac:dyDescent="0.3">
      <c r="A22" s="2">
        <v>22</v>
      </c>
      <c r="B22" s="2">
        <v>4.4000000000000004</v>
      </c>
      <c r="C22" s="3">
        <v>1506846</v>
      </c>
      <c r="D22" s="2">
        <v>44.51</v>
      </c>
      <c r="E22" s="2">
        <v>2.0099999999999998</v>
      </c>
      <c r="F22" s="2">
        <v>2.7799999999999998E-2</v>
      </c>
      <c r="G22" s="2">
        <v>51.8</v>
      </c>
      <c r="H22" s="2">
        <v>46.62</v>
      </c>
    </row>
    <row r="23" spans="1:8" ht="18" thickBot="1" x14ac:dyDescent="0.3">
      <c r="A23" s="2">
        <v>23</v>
      </c>
      <c r="B23" s="2">
        <v>4.5999999999999996</v>
      </c>
      <c r="C23" s="3">
        <v>1575339</v>
      </c>
      <c r="D23" s="2">
        <v>48.65</v>
      </c>
      <c r="E23" s="2">
        <v>2.1</v>
      </c>
      <c r="F23" s="2">
        <v>2.52E-2</v>
      </c>
      <c r="G23" s="2">
        <v>46.9</v>
      </c>
      <c r="H23" s="2">
        <v>42.21</v>
      </c>
    </row>
    <row r="24" spans="1:8" ht="18" thickBot="1" x14ac:dyDescent="0.3">
      <c r="A24" s="2">
        <v>24</v>
      </c>
      <c r="B24" s="2">
        <v>4.8</v>
      </c>
      <c r="C24" s="3">
        <v>1643832</v>
      </c>
      <c r="D24" s="2">
        <v>52.96</v>
      </c>
      <c r="E24" s="2">
        <v>2.19</v>
      </c>
      <c r="F24" s="2">
        <v>2.29E-2</v>
      </c>
      <c r="G24" s="2">
        <v>42.66</v>
      </c>
      <c r="H24" s="2">
        <v>38.39</v>
      </c>
    </row>
    <row r="25" spans="1:8" ht="18" thickBot="1" x14ac:dyDescent="0.3">
      <c r="A25" s="2">
        <v>25</v>
      </c>
      <c r="B25" s="2">
        <v>5</v>
      </c>
      <c r="C25" s="3">
        <v>1712325</v>
      </c>
      <c r="D25" s="2">
        <v>57.45</v>
      </c>
      <c r="E25" s="2">
        <v>2.2799999999999998</v>
      </c>
      <c r="F25" s="2">
        <v>2.0899999999999998E-2</v>
      </c>
      <c r="G25" s="2">
        <v>38.99</v>
      </c>
      <c r="H25" s="2">
        <v>35.090000000000003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8801B-322F-4F29-B822-22B5B4038527}">
  <dimension ref="A1:C18"/>
  <sheetViews>
    <sheetView workbookViewId="0">
      <selection activeCell="B19" sqref="B19"/>
    </sheetView>
  </sheetViews>
  <sheetFormatPr defaultRowHeight="15" x14ac:dyDescent="0.25"/>
  <sheetData>
    <row r="1" spans="1:3" x14ac:dyDescent="0.25">
      <c r="A1" t="s">
        <v>8</v>
      </c>
      <c r="B1">
        <v>1.2250000000000001</v>
      </c>
      <c r="C1" t="s">
        <v>9</v>
      </c>
    </row>
    <row r="2" spans="1:3" x14ac:dyDescent="0.25">
      <c r="A2" t="s">
        <v>10</v>
      </c>
      <c r="B2">
        <v>1.789E-5</v>
      </c>
      <c r="C2" t="s">
        <v>11</v>
      </c>
    </row>
    <row r="3" spans="1:3" x14ac:dyDescent="0.25">
      <c r="A3" t="s">
        <v>12</v>
      </c>
      <c r="B3">
        <v>1</v>
      </c>
      <c r="C3" t="s">
        <v>13</v>
      </c>
    </row>
    <row r="4" spans="1:3" x14ac:dyDescent="0.25">
      <c r="A4" t="s">
        <v>14</v>
      </c>
      <c r="B4">
        <v>1.5</v>
      </c>
      <c r="C4" t="s">
        <v>15</v>
      </c>
    </row>
    <row r="5" spans="1:3" x14ac:dyDescent="0.25">
      <c r="A5" t="s">
        <v>16</v>
      </c>
      <c r="B5">
        <v>0.1</v>
      </c>
      <c r="C5" t="s">
        <v>17</v>
      </c>
    </row>
    <row r="6" spans="1:3" x14ac:dyDescent="0.25">
      <c r="A6" t="s">
        <v>18</v>
      </c>
      <c r="B6">
        <v>0.2</v>
      </c>
      <c r="C6" t="s">
        <v>17</v>
      </c>
    </row>
    <row r="7" spans="1:3" x14ac:dyDescent="0.25">
      <c r="A7" t="s">
        <v>19</v>
      </c>
      <c r="B7">
        <v>1</v>
      </c>
      <c r="C7" t="s">
        <v>20</v>
      </c>
    </row>
    <row r="8" spans="1:3" x14ac:dyDescent="0.25">
      <c r="A8" t="s">
        <v>21</v>
      </c>
      <c r="B8">
        <v>190</v>
      </c>
      <c r="C8" t="s">
        <v>22</v>
      </c>
    </row>
    <row r="9" spans="1:3" x14ac:dyDescent="0.25">
      <c r="A9" t="s">
        <v>23</v>
      </c>
      <c r="B9">
        <v>8</v>
      </c>
      <c r="C9" t="s">
        <v>24</v>
      </c>
    </row>
    <row r="10" spans="1:3" x14ac:dyDescent="0.25">
      <c r="A10" t="s">
        <v>25</v>
      </c>
      <c r="B10">
        <v>0.9</v>
      </c>
      <c r="C10" t="s">
        <v>17</v>
      </c>
    </row>
    <row r="11" spans="1:3" x14ac:dyDescent="0.25">
      <c r="A11" t="s">
        <v>26</v>
      </c>
      <c r="B11">
        <v>2000</v>
      </c>
      <c r="C11" t="s">
        <v>27</v>
      </c>
    </row>
    <row r="12" spans="1:3" x14ac:dyDescent="0.25">
      <c r="A12" t="s">
        <v>28</v>
      </c>
      <c r="B12">
        <v>1.1499999999999999</v>
      </c>
      <c r="C12" t="s">
        <v>29</v>
      </c>
    </row>
    <row r="13" spans="1:3" x14ac:dyDescent="0.25">
      <c r="A13" t="s">
        <v>30</v>
      </c>
      <c r="B13">
        <v>7.8539999999999999E-3</v>
      </c>
      <c r="C13" t="s">
        <v>15</v>
      </c>
    </row>
    <row r="14" spans="1:3" x14ac:dyDescent="0.25">
      <c r="A14" t="s">
        <v>31</v>
      </c>
      <c r="B14">
        <v>37.200000000000003</v>
      </c>
      <c r="C14" t="s">
        <v>32</v>
      </c>
    </row>
    <row r="16" spans="1:3" x14ac:dyDescent="0.25">
      <c r="A16" t="s">
        <v>40</v>
      </c>
      <c r="B16">
        <f>1/(2*PI())*SQRT(B8/B7)</f>
        <v>2.1937994947148303</v>
      </c>
    </row>
    <row r="17" spans="1:2" x14ac:dyDescent="0.25">
      <c r="A17" t="s">
        <v>41</v>
      </c>
      <c r="B17">
        <f>B9/(2*SQRT(B8*B7))</f>
        <v>0.29019050004400465</v>
      </c>
    </row>
    <row r="18" spans="1:2" x14ac:dyDescent="0.25">
      <c r="A18" t="s">
        <v>42</v>
      </c>
      <c r="B18">
        <f>B17*B4/B6</f>
        <v>2.176428750330035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99B6-5149-4EEF-91B0-29AB08559ECB}">
  <dimension ref="A1:I24"/>
  <sheetViews>
    <sheetView topLeftCell="A4" workbookViewId="0">
      <selection activeCell="F9" sqref="F9"/>
    </sheetView>
  </sheetViews>
  <sheetFormatPr defaultRowHeight="15" x14ac:dyDescent="0.25"/>
  <sheetData>
    <row r="1" spans="1:9" x14ac:dyDescent="0.25">
      <c r="A1" t="s">
        <v>33</v>
      </c>
      <c r="B1" t="s">
        <v>37</v>
      </c>
      <c r="C1" t="s">
        <v>34</v>
      </c>
      <c r="D1" t="s">
        <v>38</v>
      </c>
      <c r="E1" t="s">
        <v>39</v>
      </c>
      <c r="F1" t="s">
        <v>35</v>
      </c>
      <c r="G1" t="s">
        <v>43</v>
      </c>
      <c r="H1" t="s">
        <v>44</v>
      </c>
      <c r="I1" t="s">
        <v>36</v>
      </c>
    </row>
    <row r="2" spans="1:9" x14ac:dyDescent="0.25">
      <c r="A2">
        <v>3</v>
      </c>
      <c r="B2">
        <f>Parameters!$B$5*A2/Parameters!$B$3</f>
        <v>0.30000000000000004</v>
      </c>
      <c r="C2">
        <f>(Parameters!$B$1*A2*Parameters!$B$3)/Parameters!$B$2</f>
        <v>205422.02347680269</v>
      </c>
      <c r="D2">
        <f>0.5*Parameters!$B$1*A2^2*Parameters!$B$4*Parameters!$B$5</f>
        <v>0.82687500000000014</v>
      </c>
      <c r="E2">
        <f>B2/Parameters!$B$17</f>
        <v>1.0338036564067667</v>
      </c>
      <c r="F2">
        <f>MIN(0.1, D2/(Parameters!$B$8*SQRT((1-E2^2)^2+(2*Parameters!$B$19*E2)^2)))</f>
        <v>6.3301435406698289E-2</v>
      </c>
      <c r="G2">
        <f>F2*2*PI()*B2</f>
        <v>0.11932039466122332</v>
      </c>
      <c r="H2">
        <v>0.12</v>
      </c>
      <c r="I2">
        <f>H2*Parameters!$B$10</f>
        <v>0.108</v>
      </c>
    </row>
    <row r="3" spans="1:9" x14ac:dyDescent="0.25">
      <c r="A3">
        <v>4</v>
      </c>
      <c r="B3">
        <f>Parameters!$B$5*A3/Parameters!$B$3</f>
        <v>0.4</v>
      </c>
      <c r="C3">
        <f>(Parameters!$B$1*A3*Parameters!$B$3)/Parameters!$B$2</f>
        <v>273896.0313024036</v>
      </c>
      <c r="D3">
        <f>0.5*Parameters!$B$1*A3^2*Parameters!$B$4*Parameters!$B$5</f>
        <v>1.4700000000000002</v>
      </c>
      <c r="E3">
        <f>B3/Parameters!$B$17</f>
        <v>1.3784048752090223</v>
      </c>
      <c r="F3">
        <f>MIN(0.1, D3/(Parameters!$B$8*SQRT((1-E3^2)^2+(2*Parameters!$B$19*E3)^2)))</f>
        <v>8.5964912280701734E-3</v>
      </c>
      <c r="G3">
        <f t="shared" ref="G3:G24" si="0">F3*2*PI()*B3</f>
        <v>2.1605338951003486E-2</v>
      </c>
      <c r="H3">
        <v>0.44</v>
      </c>
      <c r="I3">
        <f>H3*Parameters!$B$10</f>
        <v>0.39600000000000002</v>
      </c>
    </row>
    <row r="4" spans="1:9" x14ac:dyDescent="0.25">
      <c r="A4">
        <v>5</v>
      </c>
      <c r="B4">
        <f>Parameters!$B$5*A4/Parameters!$B$3</f>
        <v>0.5</v>
      </c>
      <c r="C4">
        <f>(Parameters!$B$1*A4*Parameters!$B$3)/Parameters!$B$2</f>
        <v>342370.03912800446</v>
      </c>
      <c r="D4">
        <f>0.5*Parameters!$B$1*A4^2*Parameters!$B$4*Parameters!$B$5</f>
        <v>2.2968750000000004</v>
      </c>
      <c r="E4">
        <f>B4/Parameters!$B$17</f>
        <v>1.7230060940112779</v>
      </c>
      <c r="F4">
        <f>MIN(0.1, D4/(Parameters!$B$8*SQRT((1-E4^2)^2+(2*Parameters!$B$19*E4)^2)))</f>
        <v>6.1403508771929825E-3</v>
      </c>
      <c r="G4">
        <f t="shared" si="0"/>
        <v>1.9290481206253117E-2</v>
      </c>
      <c r="H4">
        <v>1.48</v>
      </c>
      <c r="I4">
        <f>H4*Parameters!$B$10</f>
        <v>1.3320000000000001</v>
      </c>
    </row>
    <row r="5" spans="1:9" x14ac:dyDescent="0.25">
      <c r="A5">
        <v>6</v>
      </c>
      <c r="B5">
        <f>Parameters!$B$5*A5/Parameters!$B$3</f>
        <v>0.60000000000000009</v>
      </c>
      <c r="C5">
        <f>(Parameters!$B$1*A5*Parameters!$B$3)/Parameters!$B$2</f>
        <v>410844.04695360537</v>
      </c>
      <c r="D5">
        <f>0.5*Parameters!$B$1*A5^2*Parameters!$B$4*Parameters!$B$5</f>
        <v>3.3075000000000006</v>
      </c>
      <c r="E5">
        <f>B5/Parameters!$B$17</f>
        <v>2.0676073128135335</v>
      </c>
      <c r="F5">
        <f>MIN(0.1, D5/(Parameters!$B$8*SQRT((1-E5^2)^2+(2*Parameters!$B$19*E5)^2)))</f>
        <v>5.3153877059059851E-3</v>
      </c>
      <c r="G5">
        <f t="shared" si="0"/>
        <v>2.0038539561426899E-2</v>
      </c>
      <c r="H5">
        <v>4.09</v>
      </c>
      <c r="I5">
        <f>H5*Parameters!$B$10</f>
        <v>3.681</v>
      </c>
    </row>
    <row r="6" spans="1:9" x14ac:dyDescent="0.25">
      <c r="A6">
        <v>7</v>
      </c>
      <c r="B6">
        <f>Parameters!$B$5*A6/Parameters!$B$3</f>
        <v>0.70000000000000007</v>
      </c>
      <c r="C6">
        <f>(Parameters!$B$1*A6*Parameters!$B$3)/Parameters!$B$2</f>
        <v>479318.05477920634</v>
      </c>
      <c r="D6">
        <f>0.5*Parameters!$B$1*A6^2*Parameters!$B$4*Parameters!$B$5</f>
        <v>4.501875000000001</v>
      </c>
      <c r="E6">
        <f>B6/Parameters!$B$17</f>
        <v>2.4122085316157893</v>
      </c>
      <c r="F6">
        <f>MIN(0.1, D6/(Parameters!$B$8*SQRT((1-E6^2)^2+(2*Parameters!$B$19*E6)^2)))</f>
        <v>4.9170591849272971E-3</v>
      </c>
      <c r="G6">
        <f t="shared" si="0"/>
        <v>2.1626355817687338E-2</v>
      </c>
      <c r="H6">
        <v>9.77</v>
      </c>
      <c r="I6">
        <f>H6*Parameters!$B$10</f>
        <v>8.7929999999999993</v>
      </c>
    </row>
    <row r="7" spans="1:9" x14ac:dyDescent="0.25">
      <c r="A7">
        <v>8</v>
      </c>
      <c r="B7">
        <f>Parameters!$B$5*A7/Parameters!$B$3</f>
        <v>0.8</v>
      </c>
      <c r="C7">
        <f>(Parameters!$B$1*A7*Parameters!$B$3)/Parameters!$B$2</f>
        <v>547792.0626048072</v>
      </c>
      <c r="D7">
        <f>0.5*Parameters!$B$1*A7^2*Parameters!$B$4*Parameters!$B$5</f>
        <v>5.8800000000000008</v>
      </c>
      <c r="E7">
        <f>B7/Parameters!$B$17</f>
        <v>2.7568097504180447</v>
      </c>
      <c r="F7">
        <f>MIN(0.1, D7/(Parameters!$B$8*SQRT((1-E7^2)^2+(2*Parameters!$B$19*E7)^2)))</f>
        <v>4.6889952153110048E-3</v>
      </c>
      <c r="G7">
        <f t="shared" si="0"/>
        <v>2.3569460673821988E-2</v>
      </c>
      <c r="H7">
        <v>20.84</v>
      </c>
      <c r="I7">
        <f>H7*Parameters!$B$10</f>
        <v>18.756</v>
      </c>
    </row>
    <row r="8" spans="1:9" x14ac:dyDescent="0.25">
      <c r="A8">
        <v>9</v>
      </c>
      <c r="B8">
        <f>Parameters!$B$5*A8/Parameters!$B$3</f>
        <v>0.9</v>
      </c>
      <c r="C8">
        <f>(Parameters!$B$1*A8*Parameters!$B$3)/Parameters!$B$2</f>
        <v>616266.07043040812</v>
      </c>
      <c r="D8">
        <f>0.5*Parameters!$B$1*A8^2*Parameters!$B$4*Parameters!$B$5</f>
        <v>7.4418750000000005</v>
      </c>
      <c r="E8">
        <f>B8/Parameters!$B$17</f>
        <v>3.1014109692203</v>
      </c>
      <c r="F8">
        <f>MIN(0.1, D8/(Parameters!$B$8*SQRT((1-E8^2)^2+(2*Parameters!$B$19*E8)^2)))</f>
        <v>4.5444830349986648E-3</v>
      </c>
      <c r="G8">
        <f t="shared" si="0"/>
        <v>2.5698446130807455E-2</v>
      </c>
      <c r="H8">
        <v>41.87</v>
      </c>
      <c r="I8">
        <f>H8*Parameters!$B$10</f>
        <v>37.683</v>
      </c>
    </row>
    <row r="9" spans="1:9" x14ac:dyDescent="0.25">
      <c r="A9">
        <v>10</v>
      </c>
      <c r="B9">
        <f>Parameters!$B$5*A9/Parameters!$B$3</f>
        <v>1</v>
      </c>
      <c r="C9">
        <f>(Parameters!$B$1*A9*Parameters!$B$3)/Parameters!$B$2</f>
        <v>684740.07825600891</v>
      </c>
      <c r="D9">
        <f>0.5*Parameters!$B$1*A9^2*Parameters!$B$4*Parameters!$B$5</f>
        <v>9.1875000000000018</v>
      </c>
      <c r="E9">
        <f>B9/Parameters!$B$17</f>
        <v>3.4460121880225558</v>
      </c>
      <c r="F9">
        <f>MIN(0.1, D9/(Parameters!$B$8*SQRT((1-E9^2)^2+(2*Parameters!$B$19*E9)^2)))</f>
        <v>4.4464609800362979E-3</v>
      </c>
      <c r="G9">
        <f t="shared" si="0"/>
        <v>2.7937938298711412E-2</v>
      </c>
      <c r="H9">
        <v>71.06</v>
      </c>
      <c r="I9">
        <f>H9*Parameters!$B$10</f>
        <v>63.954000000000001</v>
      </c>
    </row>
    <row r="10" spans="1:9" x14ac:dyDescent="0.25">
      <c r="A10">
        <v>11</v>
      </c>
      <c r="B10">
        <f>Parameters!$B$5*A10/Parameters!$B$3</f>
        <v>1.1000000000000001</v>
      </c>
      <c r="C10">
        <f>(Parameters!$B$1*A10*Parameters!$B$3)/Parameters!$B$2</f>
        <v>753214.08608160994</v>
      </c>
      <c r="D10">
        <f>0.5*Parameters!$B$1*A10^2*Parameters!$B$4*Parameters!$B$5</f>
        <v>11.116875000000002</v>
      </c>
      <c r="E10">
        <f>B10/Parameters!$B$17</f>
        <v>3.7906134068248116</v>
      </c>
      <c r="F10">
        <f>MIN(0.1, D10/(Parameters!$B$8*SQRT((1-E10^2)^2+(2*Parameters!$B$19*E10)^2)))</f>
        <v>4.3766147486528377E-3</v>
      </c>
      <c r="G10">
        <f t="shared" si="0"/>
        <v>3.0248989632313091E-2</v>
      </c>
      <c r="H10">
        <v>89.63</v>
      </c>
      <c r="I10">
        <f>H10*Parameters!$B$10</f>
        <v>80.667000000000002</v>
      </c>
    </row>
    <row r="11" spans="1:9" x14ac:dyDescent="0.25">
      <c r="A11">
        <v>12</v>
      </c>
      <c r="B11">
        <f>Parameters!$B$5*A11/Parameters!$B$3</f>
        <v>1.2000000000000002</v>
      </c>
      <c r="C11">
        <f>(Parameters!$B$1*A11*Parameters!$B$3)/Parameters!$B$2</f>
        <v>821688.09390721074</v>
      </c>
      <c r="D11">
        <f>0.5*Parameters!$B$1*A11^2*Parameters!$B$4*Parameters!$B$5</f>
        <v>13.230000000000002</v>
      </c>
      <c r="E11">
        <f>B11/Parameters!$B$17</f>
        <v>4.135214625627067</v>
      </c>
      <c r="F11">
        <f>MIN(0.1, D11/(Parameters!$B$8*SQRT((1-E11^2)^2+(2*Parameters!$B$19*E11)^2)))</f>
        <v>4.3249427917620127E-3</v>
      </c>
      <c r="G11">
        <f t="shared" si="0"/>
        <v>3.2609300404309607E-2</v>
      </c>
      <c r="H11">
        <v>113.69</v>
      </c>
      <c r="I11">
        <f>H10*Parameters!$B$10</f>
        <v>80.667000000000002</v>
      </c>
    </row>
    <row r="12" spans="1:9" x14ac:dyDescent="0.25">
      <c r="A12">
        <v>13</v>
      </c>
      <c r="B12">
        <f>Parameters!$B$5*A12/Parameters!$B$3</f>
        <v>1.3</v>
      </c>
      <c r="C12">
        <f>(Parameters!$B$1*A12*Parameters!$B$3)/Parameters!$B$2</f>
        <v>890162.10173281166</v>
      </c>
      <c r="D12">
        <f>0.5*Parameters!$B$1*A12^2*Parameters!$B$4*Parameters!$B$5</f>
        <v>15.526875000000002</v>
      </c>
      <c r="E12">
        <f>B12/Parameters!$B$17</f>
        <v>4.4798158444293223</v>
      </c>
      <c r="F12">
        <f>MIN(0.1, D12/(Parameters!$B$8*SQRT((1-E12^2)^2+(2*Parameters!$B$19*E12)^2)))</f>
        <v>4.285566423433214E-3</v>
      </c>
      <c r="G12">
        <f t="shared" si="0"/>
        <v>3.5005110380055063E-2</v>
      </c>
      <c r="H12">
        <v>119.34</v>
      </c>
      <c r="I12">
        <f>H11*Parameters!$B$10</f>
        <v>102.321</v>
      </c>
    </row>
    <row r="13" spans="1:9" x14ac:dyDescent="0.25">
      <c r="A13">
        <v>14</v>
      </c>
      <c r="B13">
        <f>Parameters!$B$5*A13/Parameters!$B$3</f>
        <v>1.4000000000000001</v>
      </c>
      <c r="C13">
        <f>(Parameters!$B$1*A13*Parameters!$B$3)/Parameters!$B$2</f>
        <v>958636.10955841269</v>
      </c>
      <c r="D13">
        <f>0.5*Parameters!$B$1*A13^2*Parameters!$B$4*Parameters!$B$5</f>
        <v>18.007500000000004</v>
      </c>
      <c r="E13">
        <f>B13/Parameters!$B$17</f>
        <v>4.8244170632315786</v>
      </c>
      <c r="F13">
        <f>MIN(0.1, D13/(Parameters!$B$8*SQRT((1-E13^2)^2+(2*Parameters!$B$19*E13)^2)))</f>
        <v>4.2548289916710964E-3</v>
      </c>
      <c r="G13">
        <f t="shared" si="0"/>
        <v>3.7427430607041394E-2</v>
      </c>
      <c r="H13">
        <v>116.12</v>
      </c>
      <c r="I13">
        <f>H12*Parameters!$B$10</f>
        <v>107.40600000000001</v>
      </c>
    </row>
    <row r="14" spans="1:9" x14ac:dyDescent="0.25">
      <c r="A14">
        <v>15</v>
      </c>
      <c r="B14">
        <f>Parameters!$B$5*A14/Parameters!$B$3</f>
        <v>1.5</v>
      </c>
      <c r="C14">
        <f>(Parameters!$B$1*A14*Parameters!$B$3)/Parameters!$B$2</f>
        <v>1027110.1173840134</v>
      </c>
      <c r="D14">
        <f>0.5*Parameters!$B$1*A14^2*Parameters!$B$4*Parameters!$B$5</f>
        <v>20.671875</v>
      </c>
      <c r="E14">
        <f>B14/Parameters!$B$17</f>
        <v>5.1690182820338331</v>
      </c>
      <c r="F14">
        <f>MIN(0.1, D14/(Parameters!$B$8*SQRT((1-E14^2)^2+(2*Parameters!$B$19*E14)^2)))</f>
        <v>4.2303510903626013E-3</v>
      </c>
      <c r="G14">
        <f t="shared" si="0"/>
        <v>3.9870119722766162E-2</v>
      </c>
      <c r="H14">
        <v>108.31</v>
      </c>
      <c r="I14">
        <f>H13*Parameters!$B$10</f>
        <v>104.50800000000001</v>
      </c>
    </row>
    <row r="15" spans="1:9" x14ac:dyDescent="0.25">
      <c r="A15">
        <v>16</v>
      </c>
      <c r="B15">
        <f>Parameters!$B$5*A15/Parameters!$B$3</f>
        <v>1.6</v>
      </c>
      <c r="C15">
        <f>(Parameters!$B$1*A15*Parameters!$B$3)/Parameters!$B$2</f>
        <v>1095584.1252096144</v>
      </c>
      <c r="D15">
        <f>0.5*Parameters!$B$1*A15^2*Parameters!$B$4*Parameters!$B$5</f>
        <v>23.520000000000003</v>
      </c>
      <c r="E15">
        <f>B15/Parameters!$B$17</f>
        <v>5.5136195008360893</v>
      </c>
      <c r="F15">
        <f>MIN(0.1, D15/(Parameters!$B$8*SQRT((1-E15^2)^2+(2*Parameters!$B$19*E15)^2)))</f>
        <v>4.2105263157894736E-3</v>
      </c>
      <c r="G15">
        <f t="shared" si="0"/>
        <v>4.2328827332578263E-2</v>
      </c>
      <c r="H15">
        <v>98.71</v>
      </c>
      <c r="I15">
        <f>H14*Parameters!$B$10</f>
        <v>97.478999999999999</v>
      </c>
    </row>
    <row r="16" spans="1:9" x14ac:dyDescent="0.25">
      <c r="A16">
        <v>17</v>
      </c>
      <c r="B16">
        <f>Parameters!$B$5*A16/Parameters!$B$3</f>
        <v>1.7000000000000002</v>
      </c>
      <c r="C16">
        <f>(Parameters!$B$1*A16*Parameters!$B$3)/Parameters!$B$2</f>
        <v>1164058.1330352153</v>
      </c>
      <c r="D16">
        <f>0.5*Parameters!$B$1*A16^2*Parameters!$B$4*Parameters!$B$5</f>
        <v>26.551875000000003</v>
      </c>
      <c r="E16">
        <f>B16/Parameters!$B$17</f>
        <v>5.8582207196383456</v>
      </c>
      <c r="F16">
        <f>MIN(0.1, D16/(Parameters!$B$8*SQRT((1-E16^2)^2+(2*Parameters!$B$19*E16)^2)))</f>
        <v>4.1942362941681712E-3</v>
      </c>
      <c r="G16">
        <f t="shared" si="0"/>
        <v>4.4800378559206586E-2</v>
      </c>
      <c r="H16">
        <v>88.94</v>
      </c>
      <c r="I16">
        <f>H15*Parameters!$B$10</f>
        <v>88.838999999999999</v>
      </c>
    </row>
    <row r="17" spans="1:9" x14ac:dyDescent="0.25">
      <c r="A17">
        <v>18</v>
      </c>
      <c r="B17">
        <f>Parameters!$B$5*A17/Parameters!$B$3</f>
        <v>1.8</v>
      </c>
      <c r="C17">
        <f>(Parameters!$B$1*A17*Parameters!$B$3)/Parameters!$B$2</f>
        <v>1232532.1408608162</v>
      </c>
      <c r="D17">
        <f>0.5*Parameters!$B$1*A17^2*Parameters!$B$4*Parameters!$B$5</f>
        <v>29.767500000000002</v>
      </c>
      <c r="E17">
        <f>B17/Parameters!$B$17</f>
        <v>6.2028219384406</v>
      </c>
      <c r="F17">
        <f>MIN(0.1, D17/(Parameters!$B$8*SQRT((1-E17^2)^2+(2*Parameters!$B$19*E17)^2)))</f>
        <v>4.1806818580808263E-3</v>
      </c>
      <c r="G17">
        <f t="shared" si="0"/>
        <v>4.7282397884434259E-2</v>
      </c>
      <c r="H17">
        <v>79.73</v>
      </c>
      <c r="I17">
        <f>H16*Parameters!$B$10</f>
        <v>80.046000000000006</v>
      </c>
    </row>
    <row r="18" spans="1:9" x14ac:dyDescent="0.25">
      <c r="A18">
        <v>19</v>
      </c>
      <c r="B18">
        <f>Parameters!$B$5*A18/Parameters!$B$3</f>
        <v>1.9000000000000001</v>
      </c>
      <c r="C18">
        <f>(Parameters!$B$1*A18*Parameters!$B$3)/Parameters!$B$2</f>
        <v>1301006.1486864171</v>
      </c>
      <c r="D18">
        <f>0.5*Parameters!$B$1*A18^2*Parameters!$B$4*Parameters!$B$5</f>
        <v>33.166875000000005</v>
      </c>
      <c r="E18">
        <f>B18/Parameters!$B$17</f>
        <v>6.5474231572428563</v>
      </c>
      <c r="F18">
        <f>MIN(0.1, D18/(Parameters!$B$8*SQRT((1-E18^2)^2+(2*Parameters!$B$19*E18)^2)))</f>
        <v>4.1692789968652026E-3</v>
      </c>
      <c r="G18">
        <f t="shared" si="0"/>
        <v>4.9773069815808181E-2</v>
      </c>
      <c r="H18">
        <v>71.37</v>
      </c>
      <c r="I18">
        <f>H17*Parameters!$B$10</f>
        <v>71.757000000000005</v>
      </c>
    </row>
    <row r="19" spans="1:9" x14ac:dyDescent="0.25">
      <c r="A19">
        <v>20</v>
      </c>
      <c r="B19">
        <f>Parameters!$B$5*A19/Parameters!$B$3</f>
        <v>2</v>
      </c>
      <c r="C19">
        <f>(Parameters!$B$1*A19*Parameters!$B$3)/Parameters!$B$2</f>
        <v>1369480.1565120178</v>
      </c>
      <c r="D19">
        <f>0.5*Parameters!$B$1*A19^2*Parameters!$B$4*Parameters!$B$5</f>
        <v>36.750000000000007</v>
      </c>
      <c r="E19">
        <f>B19/Parameters!$B$17</f>
        <v>6.8920243760451116</v>
      </c>
      <c r="F19">
        <f>MIN(0.1, D19/(Parameters!$B$8*SQRT((1-E19^2)^2+(2*Parameters!$B$19*E19)^2)))</f>
        <v>4.1595925297113747E-3</v>
      </c>
      <c r="G19">
        <f t="shared" si="0"/>
        <v>5.2270981333072952E-2</v>
      </c>
      <c r="H19">
        <v>63.95</v>
      </c>
      <c r="I19">
        <f>H18*Parameters!$B$10</f>
        <v>64.233000000000004</v>
      </c>
    </row>
    <row r="20" spans="1:9" x14ac:dyDescent="0.25">
      <c r="A20">
        <v>21</v>
      </c>
      <c r="B20">
        <f>Parameters!$B$5*A20/Parameters!$B$3</f>
        <v>2.1</v>
      </c>
      <c r="C20">
        <f>(Parameters!$B$1*A20*Parameters!$B$3)/Parameters!$B$2</f>
        <v>1437954.164337619</v>
      </c>
      <c r="D20">
        <f>0.5*Parameters!$B$1*A20^2*Parameters!$B$4*Parameters!$B$5</f>
        <v>40.516875000000006</v>
      </c>
      <c r="E20">
        <f>B20/Parameters!$B$17</f>
        <v>7.236625594847367</v>
      </c>
      <c r="F20">
        <f>MIN(0.1, D20/(Parameters!$B$8*SQRT((1-E20^2)^2+(2*Parameters!$B$19*E20)^2)))</f>
        <v>4.1512925762514329E-3</v>
      </c>
      <c r="G20">
        <f t="shared" si="0"/>
        <v>5.4775015093904061E-2</v>
      </c>
      <c r="H20">
        <v>57.45</v>
      </c>
      <c r="I20">
        <f>H19*Parameters!$B$10</f>
        <v>57.555000000000007</v>
      </c>
    </row>
    <row r="21" spans="1:9" x14ac:dyDescent="0.25">
      <c r="A21">
        <v>22</v>
      </c>
      <c r="B21">
        <f>Parameters!$B$5*A21/Parameters!$B$3</f>
        <v>2.2000000000000002</v>
      </c>
      <c r="C21">
        <f>(Parameters!$B$1*A21*Parameters!$B$3)/Parameters!$B$2</f>
        <v>1506428.1721632199</v>
      </c>
      <c r="D21">
        <f>0.5*Parameters!$B$1*A21^2*Parameters!$B$4*Parameters!$B$5</f>
        <v>44.467500000000008</v>
      </c>
      <c r="E21">
        <f>B21/Parameters!$B$17</f>
        <v>7.5812268136496233</v>
      </c>
      <c r="F21">
        <f>MIN(0.1, D21/(Parameters!$B$8*SQRT((1-E21^2)^2+(2*Parameters!$B$19*E21)^2)))</f>
        <v>4.1441252533724743E-3</v>
      </c>
      <c r="G21">
        <f t="shared" si="0"/>
        <v>5.7284275186823982E-2</v>
      </c>
      <c r="H21">
        <v>51.8</v>
      </c>
      <c r="I21">
        <f>H20*Parameters!$B$10</f>
        <v>51.705000000000005</v>
      </c>
    </row>
    <row r="22" spans="1:9" x14ac:dyDescent="0.25">
      <c r="A22">
        <v>23</v>
      </c>
      <c r="B22">
        <f>Parameters!$B$5*A22/Parameters!$B$3</f>
        <v>2.3000000000000003</v>
      </c>
      <c r="C22">
        <f>(Parameters!$B$1*A22*Parameters!$B$3)/Parameters!$B$2</f>
        <v>1574902.1799888206</v>
      </c>
      <c r="D22">
        <f>0.5*Parameters!$B$1*A22^2*Parameters!$B$4*Parameters!$B$5</f>
        <v>48.601875000000007</v>
      </c>
      <c r="E22">
        <f>B22/Parameters!$B$17</f>
        <v>7.9258280324518786</v>
      </c>
      <c r="F22">
        <f>MIN(0.1, D22/(Parameters!$B$8*SQRT((1-E22^2)^2+(2*Parameters!$B$19*E22)^2)))</f>
        <v>4.1378925019555247E-3</v>
      </c>
      <c r="G22">
        <f t="shared" si="0"/>
        <v>5.9798034353243726E-2</v>
      </c>
      <c r="H22">
        <v>46.9</v>
      </c>
      <c r="I22">
        <f>H21*Parameters!$B$10</f>
        <v>46.62</v>
      </c>
    </row>
    <row r="23" spans="1:9" x14ac:dyDescent="0.25">
      <c r="A23">
        <v>24</v>
      </c>
      <c r="B23">
        <f>Parameters!$B$5*A23/Parameters!$B$3</f>
        <v>2.4000000000000004</v>
      </c>
      <c r="C23">
        <f>(Parameters!$B$1*A23*Parameters!$B$3)/Parameters!$B$2</f>
        <v>1643376.1878144215</v>
      </c>
      <c r="D23">
        <f>0.5*Parameters!$B$1*A23^2*Parameters!$B$4*Parameters!$B$5</f>
        <v>52.920000000000009</v>
      </c>
      <c r="E23">
        <f>B23/Parameters!$B$17</f>
        <v>8.270429251254134</v>
      </c>
      <c r="F23">
        <f>MIN(0.1, D23/(Parameters!$B$8*SQRT((1-E23^2)^2+(2*Parameters!$B$19*E23)^2)))</f>
        <v>4.1324379197251286E-3</v>
      </c>
      <c r="G23">
        <f t="shared" si="0"/>
        <v>6.2315695728116891E-2</v>
      </c>
      <c r="H23">
        <v>42.66</v>
      </c>
      <c r="I23">
        <f>H22*Parameters!$B$10</f>
        <v>42.21</v>
      </c>
    </row>
    <row r="24" spans="1:9" x14ac:dyDescent="0.25">
      <c r="A24">
        <v>25</v>
      </c>
      <c r="B24">
        <f>Parameters!$B$5*A24/Parameters!$B$3</f>
        <v>2.5</v>
      </c>
      <c r="C24">
        <f>(Parameters!$B$1*A24*Parameters!$B$3)/Parameters!$B$2</f>
        <v>1711850.1956400226</v>
      </c>
      <c r="D24">
        <f>0.5*Parameters!$B$1*A24^2*Parameters!$B$4*Parameters!$B$5</f>
        <v>57.421875</v>
      </c>
      <c r="E24">
        <f>B24/Parameters!$B$17</f>
        <v>8.6150304700563893</v>
      </c>
      <c r="F24">
        <f>MIN(0.1, D24/(Parameters!$B$8*SQRT((1-E24^2)^2+(2*Parameters!$B$19*E24)^2)))</f>
        <v>4.1276366331963067E-3</v>
      </c>
      <c r="G24">
        <f t="shared" si="0"/>
        <v>6.4836764617688128E-2</v>
      </c>
      <c r="H24">
        <v>38.99</v>
      </c>
      <c r="I24">
        <f>H23*Parameters!$B$10</f>
        <v>38.393999999999998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Parameters</vt:lpstr>
      <vt:lpstr>VIV Structure &amp; Generator Resul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R.H.T.M. RAJAPAKSHE</dc:creator>
  <cp:lastModifiedBy>R.H.T.M. RAJAPAKSHE</cp:lastModifiedBy>
  <dcterms:created xsi:type="dcterms:W3CDTF">2025-07-23T18:23:18Z</dcterms:created>
  <dcterms:modified xsi:type="dcterms:W3CDTF">2025-07-23T19:13:00Z</dcterms:modified>
</cp:coreProperties>
</file>